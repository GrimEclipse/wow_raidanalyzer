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10" windowWidth="27735" windowHeight="11700"/>
  </bookViews>
  <sheets>
    <sheet name="宇宙之冕_2029" sheetId="1" r:id="rId1"/>
  </sheets>
  <calcPr calcId="125725"/>
</workbook>
</file>

<file path=xl/calcChain.xml><?xml version="1.0" encoding="utf-8"?>
<calcChain xmlns="http://schemas.openxmlformats.org/spreadsheetml/2006/main">
  <c r="N19" i="1"/>
  <c r="N2"/>
  <c r="N4"/>
  <c r="N5"/>
  <c r="N6"/>
  <c r="N8"/>
  <c r="N11"/>
  <c r="N9"/>
  <c r="N7"/>
  <c r="N12"/>
  <c r="N10"/>
  <c r="N13"/>
  <c r="N14"/>
  <c r="N15"/>
  <c r="N16"/>
  <c r="N17"/>
  <c r="N18"/>
  <c r="N3"/>
</calcChain>
</file>

<file path=xl/sharedStrings.xml><?xml version="1.0" encoding="utf-8"?>
<sst xmlns="http://schemas.openxmlformats.org/spreadsheetml/2006/main" count="67" uniqueCount="48">
  <si>
    <t>ID</t>
  </si>
  <si>
    <t>职责</t>
  </si>
  <si>
    <t>判定次数</t>
  </si>
  <si>
    <t>放水未集中</t>
  </si>
  <si>
    <t>空虚之握死亡治疗不足</t>
  </si>
  <si>
    <t>转阶段死亡</t>
  </si>
  <si>
    <t>P1 银锋箭高伤致死</t>
  </si>
  <si>
    <t>P1 银锋箭射怪失误</t>
  </si>
  <si>
    <t>P2 拉弓未命中幻影</t>
  </si>
  <si>
    <t>申诉次数</t>
  </si>
  <si>
    <t>原因</t>
  </si>
  <si>
    <t>总计</t>
  </si>
  <si>
    <t>暗黑膏药</t>
  </si>
  <si>
    <t>远程治疗</t>
  </si>
  <si>
    <t/>
  </si>
  <si>
    <t>见见女土</t>
  </si>
  <si>
    <t>近战输出</t>
  </si>
  <si>
    <t>杀杀孩</t>
  </si>
  <si>
    <t>远程输出</t>
  </si>
  <si>
    <t>小落</t>
  </si>
  <si>
    <t>旖旎云逸</t>
  </si>
  <si>
    <t>近战治疗</t>
  </si>
  <si>
    <t>皇丨额娘</t>
  </si>
  <si>
    <t>网管</t>
  </si>
  <si>
    <t>郁闷的灵灵</t>
  </si>
  <si>
    <t>脆皮麦克思</t>
  </si>
  <si>
    <t>潘哒林熊猫</t>
  </si>
  <si>
    <t>神奇大叔</t>
  </si>
  <si>
    <t>渊重音</t>
  </si>
  <si>
    <t>Zeta</t>
  </si>
  <si>
    <t>福乐真牛</t>
  </si>
  <si>
    <t>坦克</t>
  </si>
  <si>
    <t>梨梨圆上脯</t>
  </si>
  <si>
    <t>义子</t>
  </si>
  <si>
    <t>微光一刀炼狱</t>
  </si>
  <si>
    <t>追加扣分</t>
    <phoneticPr fontId="3" type="noConversion"/>
  </si>
  <si>
    <t>锦礼</t>
    <phoneticPr fontId="3" type="noConversion"/>
  </si>
  <si>
    <r>
      <t>Fight15,P1</t>
    </r>
    <r>
      <rPr>
        <sz val="11"/>
        <rFont val="宋体"/>
        <family val="3"/>
        <charset val="134"/>
      </rPr>
      <t>防水不可接受</t>
    </r>
    <phoneticPr fontId="6" type="noConversion"/>
  </si>
  <si>
    <r>
      <t>Fight15,</t>
    </r>
    <r>
      <rPr>
        <sz val="11"/>
        <rFont val="宋体"/>
        <family val="3"/>
        <charset val="134"/>
      </rPr>
      <t>虚空之我非治疗原因</t>
    </r>
    <phoneticPr fontId="6" type="noConversion"/>
  </si>
  <si>
    <r>
      <t>Fight3</t>
    </r>
    <r>
      <rPr>
        <sz val="11"/>
        <rFont val="宋体"/>
        <family val="3"/>
        <charset val="134"/>
      </rPr>
      <t>和</t>
    </r>
    <r>
      <rPr>
        <sz val="11"/>
        <rFont val="Arial"/>
        <family val="2"/>
      </rPr>
      <t>4</t>
    </r>
    <r>
      <rPr>
        <sz val="11"/>
        <rFont val="Arial"/>
        <family val="2"/>
      </rPr>
      <t>,P1</t>
    </r>
    <r>
      <rPr>
        <sz val="11"/>
        <rFont val="宋体"/>
        <family val="3"/>
        <charset val="134"/>
      </rPr>
      <t>放水不可接受</t>
    </r>
    <phoneticPr fontId="6" type="noConversion"/>
  </si>
  <si>
    <r>
      <t>Fight7,P1</t>
    </r>
    <r>
      <rPr>
        <sz val="11"/>
        <rFont val="宋体"/>
        <family val="3"/>
        <charset val="134"/>
      </rPr>
      <t>射</t>
    </r>
    <r>
      <rPr>
        <sz val="11"/>
        <rFont val="Arial"/>
        <family val="2"/>
      </rPr>
      <t>2</t>
    </r>
    <r>
      <rPr>
        <sz val="11"/>
        <rFont val="宋体"/>
        <family val="3"/>
        <charset val="134"/>
      </rPr>
      <t>大怪属于补救</t>
    </r>
    <phoneticPr fontId="6" type="noConversion"/>
  </si>
  <si>
    <r>
      <t>Fight6,P2</t>
    </r>
    <r>
      <rPr>
        <sz val="11"/>
        <rFont val="宋体"/>
        <family val="3"/>
        <charset val="134"/>
      </rPr>
      <t>放水可接受</t>
    </r>
    <phoneticPr fontId="6" type="noConversion"/>
  </si>
  <si>
    <r>
      <t>Fight3</t>
    </r>
    <r>
      <rPr>
        <sz val="11"/>
        <rFont val="宋体"/>
        <family val="3"/>
        <charset val="134"/>
      </rPr>
      <t>和</t>
    </r>
    <r>
      <rPr>
        <sz val="11"/>
        <rFont val="Arial"/>
        <family val="2"/>
      </rPr>
      <t>4,P1</t>
    </r>
    <r>
      <rPr>
        <sz val="11"/>
        <rFont val="宋体"/>
        <family val="3"/>
        <charset val="134"/>
      </rPr>
      <t>放水不可接受</t>
    </r>
    <phoneticPr fontId="6" type="noConversion"/>
  </si>
  <si>
    <r>
      <t>Fight9,P1</t>
    </r>
    <r>
      <rPr>
        <sz val="11"/>
        <rFont val="宋体"/>
        <family val="3"/>
        <charset val="134"/>
      </rPr>
      <t>防水不可接受</t>
    </r>
    <phoneticPr fontId="6" type="noConversion"/>
  </si>
  <si>
    <r>
      <t>Fight6,P1</t>
    </r>
    <r>
      <rPr>
        <sz val="11"/>
        <rFont val="宋体"/>
        <family val="3"/>
        <charset val="134"/>
      </rPr>
      <t>放水不可接受</t>
    </r>
    <phoneticPr fontId="6" type="noConversion"/>
  </si>
  <si>
    <r>
      <t>Fight15,P2</t>
    </r>
    <r>
      <rPr>
        <sz val="11"/>
        <rFont val="宋体"/>
        <family val="3"/>
        <charset val="134"/>
      </rPr>
      <t>放水可接受</t>
    </r>
    <phoneticPr fontId="6" type="noConversion"/>
  </si>
  <si>
    <r>
      <t>Fight6,</t>
    </r>
    <r>
      <rPr>
        <sz val="11"/>
        <rFont val="宋体"/>
        <family val="3"/>
        <charset val="134"/>
      </rPr>
      <t>另一方已经瞄准</t>
    </r>
    <phoneticPr fontId="6" type="noConversion"/>
  </si>
  <si>
    <t>Fight5，P1.5坠楼死亡不该被豁免</t>
    <phoneticPr fontId="6" type="noConversion"/>
  </si>
</sst>
</file>

<file path=xl/styles.xml><?xml version="1.0" encoding="utf-8"?>
<styleSheet xmlns="http://schemas.openxmlformats.org/spreadsheetml/2006/main">
  <fonts count="7">
    <font>
      <sz val="10"/>
      <color theme="1"/>
      <name val="Microsoft YaHei"/>
      <family val="2"/>
    </font>
    <font>
      <b/>
      <sz val="11"/>
      <color rgb="FFF9FAFB"/>
      <name val="Microsoft YaHei"/>
      <family val="2"/>
    </font>
    <font>
      <b/>
      <sz val="10"/>
      <color rgb="FF9D174D"/>
      <name val="Microsoft YaHei"/>
      <family val="2"/>
    </font>
    <font>
      <sz val="9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>
      <pane ySplit="1" topLeftCell="A2" activePane="bottomLeft" state="frozen"/>
      <selection pane="bottomLeft" activeCell="H26" sqref="H26"/>
    </sheetView>
  </sheetViews>
  <sheetFormatPr defaultRowHeight="16.5"/>
  <cols>
    <col min="1" max="1" width="16" customWidth="1"/>
    <col min="2" max="2" width="14" customWidth="1"/>
    <col min="3" max="3" width="10" customWidth="1"/>
    <col min="4" max="9" width="14" customWidth="1"/>
    <col min="10" max="10" width="10" customWidth="1"/>
    <col min="11" max="11" width="36" customWidth="1"/>
    <col min="12" max="12" width="10" customWidth="1"/>
    <col min="13" max="13" width="36" customWidth="1"/>
    <col min="14" max="14" width="10" customWidth="1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35</v>
      </c>
      <c r="M1" s="1" t="s">
        <v>10</v>
      </c>
      <c r="N1" s="1" t="s">
        <v>11</v>
      </c>
    </row>
    <row r="2" spans="1:14">
      <c r="A2" s="4" t="s">
        <v>15</v>
      </c>
      <c r="B2" s="2" t="s">
        <v>16</v>
      </c>
      <c r="C2" s="2">
        <v>6</v>
      </c>
      <c r="D2" s="2">
        <v>0</v>
      </c>
      <c r="E2" s="2">
        <v>0</v>
      </c>
      <c r="F2" s="2">
        <v>2</v>
      </c>
      <c r="G2" s="2">
        <v>0</v>
      </c>
      <c r="H2" s="2">
        <v>2</v>
      </c>
      <c r="I2" s="2">
        <v>2</v>
      </c>
      <c r="J2" s="2"/>
      <c r="K2" s="2"/>
      <c r="L2" s="2">
        <v>2</v>
      </c>
      <c r="M2" s="2" t="s">
        <v>39</v>
      </c>
      <c r="N2" s="3">
        <f>(C2-J2+L2)*10</f>
        <v>80</v>
      </c>
    </row>
    <row r="3" spans="1:14">
      <c r="A3" s="4" t="s">
        <v>12</v>
      </c>
      <c r="B3" s="2" t="s">
        <v>13</v>
      </c>
      <c r="C3" s="2">
        <v>7</v>
      </c>
      <c r="D3" s="2">
        <v>0</v>
      </c>
      <c r="E3" s="2">
        <v>3</v>
      </c>
      <c r="F3" s="2">
        <v>1</v>
      </c>
      <c r="G3" s="2">
        <v>0</v>
      </c>
      <c r="H3" s="2">
        <v>1</v>
      </c>
      <c r="I3" s="2">
        <v>2</v>
      </c>
      <c r="J3" s="2">
        <v>1</v>
      </c>
      <c r="K3" s="2" t="s">
        <v>38</v>
      </c>
      <c r="L3" s="2">
        <v>1</v>
      </c>
      <c r="M3" s="2" t="s">
        <v>37</v>
      </c>
      <c r="N3" s="3">
        <f>(C3-J3+L3)*10</f>
        <v>70</v>
      </c>
    </row>
    <row r="4" spans="1:14">
      <c r="A4" s="4" t="s">
        <v>17</v>
      </c>
      <c r="B4" s="2" t="s">
        <v>18</v>
      </c>
      <c r="C4" s="2">
        <v>6</v>
      </c>
      <c r="D4" s="2">
        <v>2</v>
      </c>
      <c r="E4" s="2">
        <v>0</v>
      </c>
      <c r="F4" s="2">
        <v>1</v>
      </c>
      <c r="G4" s="2">
        <v>0</v>
      </c>
      <c r="H4" s="2">
        <v>3</v>
      </c>
      <c r="I4" s="2">
        <v>0</v>
      </c>
      <c r="J4" s="2"/>
      <c r="K4" s="2"/>
      <c r="L4" s="2"/>
      <c r="M4" s="2"/>
      <c r="N4" s="3">
        <f>(C4-J4+L4)*10</f>
        <v>60</v>
      </c>
    </row>
    <row r="5" spans="1:14">
      <c r="A5" s="4" t="s">
        <v>19</v>
      </c>
      <c r="B5" s="2" t="s">
        <v>16</v>
      </c>
      <c r="C5" s="2">
        <v>6</v>
      </c>
      <c r="D5" s="2">
        <v>1</v>
      </c>
      <c r="E5" s="2">
        <v>0</v>
      </c>
      <c r="F5" s="2">
        <v>0</v>
      </c>
      <c r="G5" s="2">
        <v>0</v>
      </c>
      <c r="H5" s="2">
        <v>2</v>
      </c>
      <c r="I5" s="2">
        <v>3</v>
      </c>
      <c r="J5" s="2">
        <v>1</v>
      </c>
      <c r="K5" s="2" t="s">
        <v>40</v>
      </c>
      <c r="L5" s="2"/>
      <c r="M5" s="2"/>
      <c r="N5" s="3">
        <f>(C5-J5+L5)*10</f>
        <v>50</v>
      </c>
    </row>
    <row r="6" spans="1:14">
      <c r="A6" s="4" t="s">
        <v>20</v>
      </c>
      <c r="B6" s="2" t="s">
        <v>21</v>
      </c>
      <c r="C6" s="2">
        <v>6</v>
      </c>
      <c r="D6" s="2">
        <v>1</v>
      </c>
      <c r="E6" s="2">
        <v>3</v>
      </c>
      <c r="F6" s="2">
        <v>1</v>
      </c>
      <c r="G6" s="2">
        <v>0</v>
      </c>
      <c r="H6" s="2">
        <v>1</v>
      </c>
      <c r="I6" s="2">
        <v>0</v>
      </c>
      <c r="J6" s="2">
        <v>1</v>
      </c>
      <c r="K6" s="2"/>
      <c r="L6" s="2"/>
      <c r="M6" s="2"/>
      <c r="N6" s="3">
        <f>(C6-J6+L6)*10</f>
        <v>50</v>
      </c>
    </row>
    <row r="7" spans="1:14">
      <c r="A7" s="4" t="s">
        <v>25</v>
      </c>
      <c r="B7" s="2" t="s">
        <v>18</v>
      </c>
      <c r="C7" s="2">
        <v>3</v>
      </c>
      <c r="D7" s="2">
        <v>0</v>
      </c>
      <c r="E7" s="2">
        <v>0</v>
      </c>
      <c r="F7" s="2">
        <v>1</v>
      </c>
      <c r="G7" s="2">
        <v>1</v>
      </c>
      <c r="H7" s="2">
        <v>1</v>
      </c>
      <c r="I7" s="2">
        <v>0</v>
      </c>
      <c r="J7" s="2"/>
      <c r="K7" s="2"/>
      <c r="L7" s="2">
        <v>2</v>
      </c>
      <c r="M7" s="2" t="s">
        <v>42</v>
      </c>
      <c r="N7" s="3">
        <f>(C7-J7+L7)*10</f>
        <v>50</v>
      </c>
    </row>
    <row r="8" spans="1:14">
      <c r="A8" s="4" t="s">
        <v>22</v>
      </c>
      <c r="B8" s="2" t="s">
        <v>18</v>
      </c>
      <c r="C8" s="2">
        <v>4</v>
      </c>
      <c r="D8" s="2">
        <v>1</v>
      </c>
      <c r="E8" s="2">
        <v>0</v>
      </c>
      <c r="F8" s="2">
        <v>2</v>
      </c>
      <c r="G8" s="2">
        <v>0</v>
      </c>
      <c r="H8" s="2">
        <v>1</v>
      </c>
      <c r="I8" s="2">
        <v>0</v>
      </c>
      <c r="J8" s="2"/>
      <c r="K8" s="2"/>
      <c r="L8" s="2"/>
      <c r="M8" s="2"/>
      <c r="N8" s="3">
        <f>(C8-J8+L8)*10</f>
        <v>40</v>
      </c>
    </row>
    <row r="9" spans="1:14">
      <c r="A9" s="4" t="s">
        <v>24</v>
      </c>
      <c r="B9" s="2" t="s">
        <v>13</v>
      </c>
      <c r="C9" s="2">
        <v>4</v>
      </c>
      <c r="D9" s="2">
        <v>1</v>
      </c>
      <c r="E9" s="2">
        <v>0</v>
      </c>
      <c r="F9" s="2">
        <v>1</v>
      </c>
      <c r="G9" s="2">
        <v>1</v>
      </c>
      <c r="H9" s="2">
        <v>0</v>
      </c>
      <c r="I9" s="2">
        <v>1</v>
      </c>
      <c r="J9" s="2"/>
      <c r="K9" s="2"/>
      <c r="L9" s="2"/>
      <c r="M9" s="2"/>
      <c r="N9" s="3">
        <f>(C9-J9+L9)*10</f>
        <v>40</v>
      </c>
    </row>
    <row r="10" spans="1:14">
      <c r="A10" s="4" t="s">
        <v>27</v>
      </c>
      <c r="B10" s="2" t="s">
        <v>16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2</v>
      </c>
      <c r="J10" s="2"/>
      <c r="K10" s="2"/>
      <c r="L10" s="2">
        <v>1</v>
      </c>
      <c r="M10" s="2" t="s">
        <v>44</v>
      </c>
      <c r="N10" s="3">
        <f>(C10-J10+L10)*10</f>
        <v>40</v>
      </c>
    </row>
    <row r="11" spans="1:14">
      <c r="A11" s="4" t="s">
        <v>23</v>
      </c>
      <c r="B11" s="2" t="s">
        <v>16</v>
      </c>
      <c r="C11" s="2">
        <v>4</v>
      </c>
      <c r="D11" s="2">
        <v>1</v>
      </c>
      <c r="E11" s="2">
        <v>0</v>
      </c>
      <c r="F11" s="2">
        <v>0</v>
      </c>
      <c r="G11" s="2">
        <v>0</v>
      </c>
      <c r="H11" s="2">
        <v>1</v>
      </c>
      <c r="I11" s="2">
        <v>2</v>
      </c>
      <c r="J11" s="2">
        <v>1</v>
      </c>
      <c r="K11" s="2" t="s">
        <v>41</v>
      </c>
      <c r="L11" s="2"/>
      <c r="M11" s="2"/>
      <c r="N11" s="3">
        <f>(C11-J11+L11)*10</f>
        <v>30</v>
      </c>
    </row>
    <row r="12" spans="1:14">
      <c r="A12" s="4" t="s">
        <v>26</v>
      </c>
      <c r="B12" s="2" t="s">
        <v>18</v>
      </c>
      <c r="C12" s="2">
        <v>3</v>
      </c>
      <c r="D12" s="2">
        <v>0</v>
      </c>
      <c r="E12" s="2">
        <v>0</v>
      </c>
      <c r="F12" s="2">
        <v>2</v>
      </c>
      <c r="G12" s="2">
        <v>0</v>
      </c>
      <c r="H12" s="2">
        <v>1</v>
      </c>
      <c r="I12" s="2">
        <v>0</v>
      </c>
      <c r="J12" s="2">
        <v>1</v>
      </c>
      <c r="K12" s="2" t="s">
        <v>40</v>
      </c>
      <c r="L12" s="2">
        <v>1</v>
      </c>
      <c r="M12" s="2" t="s">
        <v>43</v>
      </c>
      <c r="N12" s="3">
        <f>(C12-J12+L12)*10</f>
        <v>30</v>
      </c>
    </row>
    <row r="13" spans="1:14">
      <c r="A13" s="4" t="s">
        <v>28</v>
      </c>
      <c r="B13" s="2" t="s">
        <v>18</v>
      </c>
      <c r="C13" s="2">
        <v>3</v>
      </c>
      <c r="D13" s="2">
        <v>0</v>
      </c>
      <c r="E13" s="2">
        <v>0</v>
      </c>
      <c r="F13" s="2">
        <v>1</v>
      </c>
      <c r="G13" s="2">
        <v>0</v>
      </c>
      <c r="H13" s="2">
        <v>1</v>
      </c>
      <c r="I13" s="2">
        <v>1</v>
      </c>
      <c r="J13" s="2">
        <v>1</v>
      </c>
      <c r="K13" s="2" t="s">
        <v>46</v>
      </c>
      <c r="L13" s="2"/>
      <c r="M13" s="2"/>
      <c r="N13" s="3">
        <f>(C13-J13+L13)*10</f>
        <v>20</v>
      </c>
    </row>
    <row r="14" spans="1:14">
      <c r="A14" s="4" t="s">
        <v>29</v>
      </c>
      <c r="B14" s="2" t="s">
        <v>16</v>
      </c>
      <c r="C14" s="2">
        <v>2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1</v>
      </c>
      <c r="K14" s="2" t="s">
        <v>45</v>
      </c>
      <c r="L14" s="2"/>
      <c r="M14" s="2"/>
      <c r="N14" s="3">
        <f>(C14-J14+L14)*10</f>
        <v>10</v>
      </c>
    </row>
    <row r="15" spans="1:14">
      <c r="A15" s="4" t="s">
        <v>30</v>
      </c>
      <c r="B15" s="2" t="s">
        <v>31</v>
      </c>
      <c r="C15" s="2">
        <v>1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/>
      <c r="K15" s="2"/>
      <c r="L15" s="2"/>
      <c r="M15" s="2"/>
      <c r="N15" s="3">
        <f>(C15-J15+L15)*10</f>
        <v>10</v>
      </c>
    </row>
    <row r="16" spans="1:14">
      <c r="A16" s="4" t="s">
        <v>32</v>
      </c>
      <c r="B16" s="2" t="s">
        <v>18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 t="s">
        <v>14</v>
      </c>
      <c r="L16" s="2"/>
      <c r="M16" s="2"/>
      <c r="N16" s="3">
        <f>(C16-J16+L16)*10</f>
        <v>10</v>
      </c>
    </row>
    <row r="17" spans="1:14">
      <c r="A17" s="4" t="s">
        <v>33</v>
      </c>
      <c r="B17" s="2" t="s">
        <v>18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  <c r="K17" s="2" t="s">
        <v>14</v>
      </c>
      <c r="L17" s="2"/>
      <c r="M17" s="2"/>
      <c r="N17" s="3">
        <f>(C17-J17+L17)*10</f>
        <v>10</v>
      </c>
    </row>
    <row r="18" spans="1:14">
      <c r="A18" s="4" t="s">
        <v>34</v>
      </c>
      <c r="B18" s="2" t="s">
        <v>16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 t="s">
        <v>14</v>
      </c>
      <c r="L18" s="2">
        <v>1</v>
      </c>
      <c r="M18" s="2" t="s">
        <v>47</v>
      </c>
      <c r="N18" s="3">
        <f>(C18-J18+L18)*10</f>
        <v>10</v>
      </c>
    </row>
    <row r="19" spans="1:14">
      <c r="A19" s="4" t="s">
        <v>36</v>
      </c>
      <c r="B19" s="2" t="s">
        <v>16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 t="s">
        <v>14</v>
      </c>
      <c r="L19" s="2">
        <v>0</v>
      </c>
      <c r="M19" s="2" t="s">
        <v>14</v>
      </c>
      <c r="N19" s="3">
        <f>(C19-J19+L19)*10</f>
        <v>0</v>
      </c>
    </row>
  </sheetData>
  <sortState ref="A2:N19">
    <sortCondition descending="1" ref="N1"/>
  </sortState>
  <phoneticPr fontId="6" type="noConversion"/>
  <pageMargins left="0.5" right="0.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宇宙之冕_2029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2026-07-15T10:01:24Z</dcterms:modified>
</cp:coreProperties>
</file>